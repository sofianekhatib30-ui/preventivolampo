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<sst xmlns="http://schemas.openxmlformats.org/spreadsheetml/2006/main" count="102" uniqueCount="56">
  <si>
    <t>Preventivo: lavori da idraulico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</si>
  <si>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</si>
  <si>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</si>
  <si>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</si>
  <si>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</si>
  <si>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</si>
  <si>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</si>
  <si>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</si>
  <si>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</si>
  <si>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</si>
  <si>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</si>
  <si>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</si>
  <si>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</si>
  <si>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</si>
  <si>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</si>
  <si>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</si>
  <si>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</si>
  <si>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</si>
  <si>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</si>
  <si>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Smontaggio sanitari esistenti</t>
  </si>
  <si>
    <t>cad</t>
  </si>
  <si>
    <t>Rimozione vasca da bagno</t>
  </si>
  <si>
    <t>Punto acqua calda e fredda</t>
  </si>
  <si>
    <t>Punto scarico</t>
  </si>
  <si>
    <t>Tubazione di scarico fino alla colonna</t>
  </si>
  <si>
    <t>m</t>
  </si>
  <si>
    <t>Collettore di distribuzione sanitaria</t>
  </si>
  <si>
    <t>Posa piatto doccia</t>
  </si>
  <si>
    <t>Telaio per sanitari sospesi con cassetta a incasso</t>
  </si>
  <si>
    <t>Posa vaso e bidet sospesi</t>
  </si>
  <si>
    <t>Posa lavabo con sifone</t>
  </si>
  <si>
    <t>Posa miscelatore</t>
  </si>
  <si>
    <t>Attacco lavatrice o lavastoviglie</t>
  </si>
  <si>
    <t>Spostamento lavello cucina</t>
  </si>
  <si>
    <t>a corpo</t>
  </si>
  <si>
    <t>Rubinetto d'arresto</t>
  </si>
  <si>
    <t>Ricerca perdite</t>
  </si>
  <si>
    <t>ore</t>
  </si>
  <si>
    <t>Disostruzione scarico</t>
  </si>
  <si>
    <t>Dichiarazione di conformità impianto idrico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</si>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</sst>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24</v>
      </c>
      <c r="B17" t="s">
        <v>25</v>
      </c>
      <c r="C17" s="5"/>
      <c r="D17" s="6"/>
      <c r="E17" s="6">
        <f>IF(OR(C17="",D17=""),"",C17*D17)</f>
      </c>
    </row>
    <row r="18" spans="1:5" x14ac:dyDescent="0.25">
      <c r="A18" s="4" t="s">
        <v>26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27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28</v>
      </c>
      <c r="B20" t="s">
        <v>20</v>
      </c>
      <c r="C20" s="5"/>
      <c r="D20" s="6"/>
      <c r="E20" s="6">
        <f>IF(OR(C20="",D20=""),"",C20*D20)</f>
      </c>
    </row>
    <row r="21" spans="1:5" x14ac:dyDescent="0.25">
      <c r="A21" s="4" t="s">
        <v>29</v>
      </c>
      <c r="B21" t="s">
        <v>20</v>
      </c>
      <c r="C21" s="5"/>
      <c r="D21" s="6"/>
      <c r="E21" s="6">
        <f>IF(OR(C21="",D21=""),"",C21*D21)</f>
      </c>
    </row>
    <row r="22" spans="1:5" x14ac:dyDescent="0.25">
      <c r="A22" s="4" t="s">
        <v>30</v>
      </c>
      <c r="B22" t="s">
        <v>20</v>
      </c>
      <c r="C22" s="5"/>
      <c r="D22" s="6"/>
      <c r="E22" s="6">
        <f>IF(OR(C22="",D22=""),"",C22*D22)</f>
      </c>
    </row>
    <row r="23" spans="1:5" x14ac:dyDescent="0.25">
      <c r="A23" s="4" t="s">
        <v>31</v>
      </c>
      <c r="B23" t="s">
        <v>20</v>
      </c>
      <c r="C23" s="5"/>
      <c r="D23" s="6"/>
      <c r="E23" s="6">
        <f>IF(OR(C23="",D23=""),"",C23*D23)</f>
      </c>
    </row>
    <row r="24" spans="1:5" x14ac:dyDescent="0.25">
      <c r="A24" s="4" t="s">
        <v>32</v>
      </c>
      <c r="B24" t="s">
        <v>20</v>
      </c>
      <c r="C24" s="5"/>
      <c r="D24" s="6"/>
      <c r="E24" s="6">
        <f>IF(OR(C24="",D24=""),"",C24*D24)</f>
      </c>
    </row>
    <row r="25" spans="1:5" x14ac:dyDescent="0.25">
      <c r="A25" s="4" t="s">
        <v>33</v>
      </c>
      <c r="B25" t="s">
        <v>34</v>
      </c>
      <c r="C25" s="5"/>
      <c r="D25" s="6"/>
      <c r="E25" s="6">
        <f>IF(OR(C25="",D25=""),"",C25*D25)</f>
      </c>
    </row>
    <row r="26" spans="1:5" x14ac:dyDescent="0.25">
      <c r="A26" s="4" t="s">
        <v>35</v>
      </c>
      <c r="B26" t="s">
        <v>20</v>
      </c>
      <c r="C26" s="5"/>
      <c r="D26" s="6"/>
      <c r="E26" s="6">
        <f>IF(OR(C26="",D26=""),"",C26*D26)</f>
      </c>
    </row>
    <row r="27" spans="1:5" x14ac:dyDescent="0.25">
      <c r="A27" s="4" t="s">
        <v>36</v>
      </c>
      <c r="B27" t="s">
        <v>37</v>
      </c>
      <c r="C27" s="5"/>
      <c r="D27" s="6"/>
      <c r="E27" s="6">
        <f>IF(OR(C27="",D27=""),"",C27*D27)</f>
      </c>
    </row>
    <row r="28" spans="1:5" x14ac:dyDescent="0.25">
      <c r="A28" s="4" t="s">
        <v>38</v>
      </c>
      <c r="B28" t="s">
        <v>37</v>
      </c>
      <c r="C28" s="5"/>
      <c r="D28" s="6"/>
      <c r="E28" s="6">
        <f>IF(OR(C28="",D28=""),"",C28*D28)</f>
      </c>
    </row>
    <row r="29" spans="1:5" x14ac:dyDescent="0.25">
      <c r="A29" s="4" t="s">
        <v>39</v>
      </c>
      <c r="B29" t="s">
        <v>34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5" spans="1:5" x14ac:dyDescent="0.25">
      <c r="A35" s="4" t="s">
        <v>2</v>
      </c>
      <c r="B35" t="s">
        <v>2</v>
      </c>
      <c r="C35" s="5"/>
      <c r="D35" s="6"/>
      <c r="E35" s="6">
        <f>IF(OR(C35="",D35=""),"",C35*D35)</f>
      </c>
    </row>
    <row r="37" spans="1:5" x14ac:dyDescent="0.25">
      <c r="A37" t="s">
        <v>2</v>
      </c>
      <c r="B37" t="s">
        <v>2</v>
      </c>
      <c r="C37" t="s">
        <v>2</v>
      </c>
      <c r="D37" t="s">
        <v>40</v>
      </c>
      <c r="E37" s="6">
        <f>SUM(E13:E35)</f>
      </c>
    </row>
    <row r="38" spans="1:5" x14ac:dyDescent="0.25">
      <c r="A38" t="s">
        <v>2</v>
      </c>
      <c r="B38" t="s">
        <v>2</v>
      </c>
      <c r="C38" t="s">
        <v>2</v>
      </c>
      <c r="D38" t="s">
        <v>41</v>
      </c>
      <c r="E38" s="7">
        <v>0.1</v>
      </c>
    </row>
    <row r="39" spans="1:5" x14ac:dyDescent="0.25">
      <c r="A39" t="s">
        <v>2</v>
      </c>
      <c r="B39" t="s">
        <v>2</v>
      </c>
      <c r="C39" t="s">
        <v>2</v>
      </c>
      <c r="D39" t="s">
        <v>42</v>
      </c>
      <c r="E39" s="6">
        <f>E37*E38</f>
      </c>
    </row>
    <row r="40" spans="1:5" s="2" customFormat="1" x14ac:dyDescent="0.25">
      <c r="A40" s="2" t="s">
        <v>2</v>
      </c>
      <c r="B40" s="2" t="s">
        <v>2</v>
      </c>
      <c r="C40" s="2" t="s">
        <v>2</v>
      </c>
      <c r="D40" s="2" t="s">
        <v>43</v>
      </c>
      <c r="E40" s="8">
        <f>E37+E39</f>
      </c>
    </row>
    <row r="42" spans="1:1" x14ac:dyDescent="0.25">
      <c r="A42" s="9" t="s">
        <v>44</v>
      </c>
    </row>
    <row r="44" spans="1:1" s="2" customFormat="1" x14ac:dyDescent="0.25">
      <c r="A44" s="2" t="s">
        <v>45</v>
      </c>
    </row>
    <row r="45" spans="1:1" x14ac:dyDescent="0.25">
      <c r="A45" t="s">
        <v>46</v>
      </c>
    </row>
    <row r="46" spans="1:1" x14ac:dyDescent="0.25">
      <c r="A46" t="s">
        <v>46</v>
      </c>
    </row>
    <row r="48" spans="1:1" s="2" customFormat="1" x14ac:dyDescent="0.25">
      <c r="A48" s="2" t="s">
        <v>47</v>
      </c>
    </row>
    <row r="49" spans="1:1" x14ac:dyDescent="0.25">
      <c r="A49" s="9" t="s">
        <v>48</v>
      </c>
    </row>
    <row r="50" spans="1:1" x14ac:dyDescent="0.25">
      <c r="A50" s="9" t="s">
        <v>49</v>
      </c>
    </row>
    <row r="51" spans="1:1" x14ac:dyDescent="0.25">
      <c r="A51" s="9" t="s">
        <v>50</v>
      </c>
    </row>
    <row r="52" spans="1:1" x14ac:dyDescent="0.25">
      <c r="A52" s="9" t="s">
        <v>51</v>
      </c>
    </row>
    <row r="53" spans="1:1" x14ac:dyDescent="0.25">
      <c r="A53" s="9" t="s">
        <v>52</v>
      </c>
    </row>
    <row r="55" spans="1:3" s="2" customFormat="1" x14ac:dyDescent="0.25">
      <c r="A55" s="2" t="s">
        <v>53</v>
      </c>
      <c r="B55" s="2" t="s">
        <v>2</v>
      </c>
      <c r="C55" s="2" t="s">
        <v>54</v>
      </c>
    </row>
    <row r="57" spans="1:1" s="10" customFormat="1" x14ac:dyDescent="0.25">
      <c r="A57" s="10" t="s">
        <v>55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