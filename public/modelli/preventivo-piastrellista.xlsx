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<sst xmlns="http://schemas.openxmlformats.org/spreadsheetml/2006/main" count="100" uniqueCount="55">
  <si>
    <t>Preventivo: lavori da piastrellista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</si>
  <si>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</si>
  <si>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</si>
  <si>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</si>
  <si>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</si>
  <si>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</si>
  <si>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</si>
  <si>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</si>
  <si>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</si>
  <si>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</si>
  <si>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</si>
  <si>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</si>
  <si>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</si>
  <si>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</si>
  <si>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</si>
  <si>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</si>
  <si>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</si>
  <si>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</si>
  <si>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</si>
  <si>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Demolizione pavimento esistente</t>
  </si>
  <si>
    <t>mq</t>
  </si>
  <si>
    <t>Demolizione rivestimento a parete</t>
  </si>
  <si>
    <t>Massetto in sabbia e cemento</t>
  </si>
  <si>
    <t>Rasatura autolivellante</t>
  </si>
  <si>
    <t>Impermeabilizzazione con guaina liquida</t>
  </si>
  <si>
    <t>Posa pavimento in gres porcellanato</t>
  </si>
  <si>
    <t>Posa in diagonale o a disegno</t>
  </si>
  <si>
    <t>Posa rivestimento a parete</t>
  </si>
  <si>
    <t>Fornitura piastrelle</t>
  </si>
  <si>
    <t>Stuccatura fughe epossidica</t>
  </si>
  <si>
    <t>Posa battiscopa</t>
  </si>
  <si>
    <t>m</t>
  </si>
  <si>
    <t>Profilo angolare in alluminio</t>
  </si>
  <si>
    <t>Posa soglia o davanzale in pietra</t>
  </si>
  <si>
    <t>cad</t>
  </si>
  <si>
    <t>Rivestimento gradino</t>
  </si>
  <si>
    <t>Foro su piastrella</t>
  </si>
  <si>
    <t>Carico e smaltimento macerie</t>
  </si>
  <si>
    <t>a corpo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</si>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</sst>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24</v>
      </c>
      <c r="B17" t="s">
        <v>20</v>
      </c>
      <c r="C17" s="5"/>
      <c r="D17" s="6"/>
      <c r="E17" s="6">
        <f>IF(OR(C17="",D17=""),"",C17*D17)</f>
      </c>
    </row>
    <row r="18" spans="1:5" x14ac:dyDescent="0.25">
      <c r="A18" s="4" t="s">
        <v>25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26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27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28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29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30</v>
      </c>
      <c r="B23" t="s">
        <v>31</v>
      </c>
      <c r="C23" s="5"/>
      <c r="D23" s="6"/>
      <c r="E23" s="6">
        <f>IF(OR(C23="",D23=""),"",C23*D23)</f>
      </c>
    </row>
    <row r="24" spans="1:5" x14ac:dyDescent="0.25">
      <c r="A24" s="4" t="s">
        <v>32</v>
      </c>
      <c r="B24" t="s">
        <v>31</v>
      </c>
      <c r="C24" s="5"/>
      <c r="D24" s="6"/>
      <c r="E24" s="6">
        <f>IF(OR(C24="",D24=""),"",C24*D24)</f>
      </c>
    </row>
    <row r="25" spans="1:5" x14ac:dyDescent="0.25">
      <c r="A25" s="4" t="s">
        <v>33</v>
      </c>
      <c r="B25" t="s">
        <v>34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34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34</v>
      </c>
      <c r="C27" s="5"/>
      <c r="D27" s="6"/>
      <c r="E27" s="6">
        <f>IF(OR(C27="",D27=""),"",C27*D27)</f>
      </c>
    </row>
    <row r="28" spans="1:5" x14ac:dyDescent="0.25">
      <c r="A28" s="4" t="s">
        <v>37</v>
      </c>
      <c r="B28" t="s">
        <v>38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39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40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41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42</v>
      </c>
      <c r="E39" s="8">
        <f>E36+E38</f>
      </c>
    </row>
    <row r="41" spans="1:1" x14ac:dyDescent="0.25">
      <c r="A41" s="9" t="s">
        <v>43</v>
      </c>
    </row>
    <row r="43" spans="1:1" s="2" customFormat="1" x14ac:dyDescent="0.25">
      <c r="A43" s="2" t="s">
        <v>44</v>
      </c>
    </row>
    <row r="44" spans="1:1" x14ac:dyDescent="0.25">
      <c r="A44" t="s">
        <v>45</v>
      </c>
    </row>
    <row r="45" spans="1:1" x14ac:dyDescent="0.25">
      <c r="A45" t="s">
        <v>45</v>
      </c>
    </row>
    <row r="47" spans="1:1" s="2" customFormat="1" x14ac:dyDescent="0.25">
      <c r="A47" s="2" t="s">
        <v>46</v>
      </c>
    </row>
    <row r="48" spans="1:1" x14ac:dyDescent="0.25">
      <c r="A48" s="9" t="s">
        <v>47</v>
      </c>
    </row>
    <row r="49" spans="1:1" x14ac:dyDescent="0.25">
      <c r="A49" s="9" t="s">
        <v>48</v>
      </c>
    </row>
    <row r="50" spans="1:1" x14ac:dyDescent="0.25">
      <c r="A50" s="9" t="s">
        <v>49</v>
      </c>
    </row>
    <row r="51" spans="1:1" x14ac:dyDescent="0.25">
      <c r="A51" s="9" t="s">
        <v>50</v>
      </c>
    </row>
    <row r="52" spans="1:1" x14ac:dyDescent="0.25">
      <c r="A52" s="9" t="s">
        <v>51</v>
      </c>
    </row>
    <row r="54" spans="1:3" s="2" customFormat="1" x14ac:dyDescent="0.25">
      <c r="A54" s="2" t="s">
        <v>52</v>
      </c>
      <c r="B54" s="2" t="s">
        <v>2</v>
      </c>
      <c r="C54" s="2" t="s">
        <v>53</v>
      </c>
    </row>
    <row r="56" spans="1:1" s="10" customFormat="1" x14ac:dyDescent="0.25">
      <c r="A56" s="10" t="s">
        <v>54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