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<sst xmlns="http://schemas.openxmlformats.org/spreadsheetml/2006/main" count="100" uniqueCount="54">
  <si>
    <t>Preventivo: lavori da cartongessista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</si>
  <si>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</si>
  <si>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</si>
  <si>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</si>
  <si>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</si>
  <si>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</si>
  <si>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</si>
  <si>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</si>
  <si>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</si>
  <si>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</si>
  <si>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</si>
  <si>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</si>
  <si>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</si>
  <si>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</si>
  <si>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</si>
  <si>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</si>
  <si>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</si>
  <si>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</si>
  <si>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</si>
  <si>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Parete divisoria in cartongesso, lastra singola</t>
  </si>
  <si>
    <t>mq</t>
  </si>
  <si>
    <t>Parete divisoria in cartongesso, doppia lastra</t>
  </si>
  <si>
    <t>Controparete su struttura metallica</t>
  </si>
  <si>
    <t>Controsoffitto in cartongesso</t>
  </si>
  <si>
    <t>Isolante in lana minerale nell'intercapedine</t>
  </si>
  <si>
    <t>Maggiorazione lastra idrorepellente</t>
  </si>
  <si>
    <t>Maggiorazione lastra per protezione al fuoco</t>
  </si>
  <si>
    <t>Veletta o ribassamento perimetrale</t>
  </si>
  <si>
    <t>m</t>
  </si>
  <si>
    <t>Vano porta con rinforzo</t>
  </si>
  <si>
    <t>cad</t>
  </si>
  <si>
    <t>Inserimento controtelaio per porta scorrevole</t>
  </si>
  <si>
    <t>Rinforzo per pensili e carichi sospesi</t>
  </si>
  <si>
    <t>Foro per faretto</t>
  </si>
  <si>
    <t>Botola d'ispezione</t>
  </si>
  <si>
    <t>Paraspigolo</t>
  </si>
  <si>
    <t>Stuccatura e rasatura dei giunti</t>
  </si>
  <si>
    <t>Smontaggio controsoffitto esistente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</si>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</sst>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20</v>
      </c>
      <c r="C17" s="5"/>
      <c r="D17" s="6"/>
      <c r="E17" s="6">
        <f>IF(OR(C17="",D17=""),"",C17*D17)</f>
      </c>
    </row>
    <row r="18" spans="1:5" x14ac:dyDescent="0.25">
      <c r="A18" s="4" t="s">
        <v>25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26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27</v>
      </c>
      <c r="B20" t="s">
        <v>28</v>
      </c>
      <c r="C20" s="5"/>
      <c r="D20" s="6"/>
      <c r="E20" s="6">
        <f>IF(OR(C20="",D20=""),"",C20*D20)</f>
      </c>
    </row>
    <row r="21" spans="1:5" x14ac:dyDescent="0.25">
      <c r="A21" s="4" t="s">
        <v>29</v>
      </c>
      <c r="B21" t="s">
        <v>30</v>
      </c>
      <c r="C21" s="5"/>
      <c r="D21" s="6"/>
      <c r="E21" s="6">
        <f>IF(OR(C21="",D21=""),"",C21*D21)</f>
      </c>
    </row>
    <row r="22" spans="1:5" x14ac:dyDescent="0.25">
      <c r="A22" s="4" t="s">
        <v>31</v>
      </c>
      <c r="B22" t="s">
        <v>30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28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30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30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28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20</v>
      </c>
      <c r="C27" s="5"/>
      <c r="D27" s="6"/>
      <c r="E27" s="6">
        <f>IF(OR(C27="",D27=""),"",C27*D27)</f>
      </c>
    </row>
    <row r="28" spans="1:5" x14ac:dyDescent="0.25">
      <c r="A28" s="4" t="s">
        <v>37</v>
      </c>
      <c r="B28" t="s">
        <v>20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38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39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40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41</v>
      </c>
      <c r="E39" s="8">
        <f>E36+E38</f>
      </c>
    </row>
    <row r="41" spans="1:1" x14ac:dyDescent="0.25">
      <c r="A41" s="9" t="s">
        <v>42</v>
      </c>
    </row>
    <row r="43" spans="1:1" s="2" customFormat="1" x14ac:dyDescent="0.25">
      <c r="A43" s="2" t="s">
        <v>43</v>
      </c>
    </row>
    <row r="44" spans="1:1" x14ac:dyDescent="0.25">
      <c r="A44" t="s">
        <v>44</v>
      </c>
    </row>
    <row r="45" spans="1:1" x14ac:dyDescent="0.25">
      <c r="A45" t="s">
        <v>44</v>
      </c>
    </row>
    <row r="47" spans="1:1" s="2" customFormat="1" x14ac:dyDescent="0.25">
      <c r="A47" s="2" t="s">
        <v>45</v>
      </c>
    </row>
    <row r="48" spans="1:1" x14ac:dyDescent="0.25">
      <c r="A48" s="9" t="s">
        <v>46</v>
      </c>
    </row>
    <row r="49" spans="1:1" x14ac:dyDescent="0.25">
      <c r="A49" s="9" t="s">
        <v>47</v>
      </c>
    </row>
    <row r="50" spans="1:1" x14ac:dyDescent="0.25">
      <c r="A50" s="9" t="s">
        <v>48</v>
      </c>
    </row>
    <row r="51" spans="1:1" x14ac:dyDescent="0.25">
      <c r="A51" s="9" t="s">
        <v>49</v>
      </c>
    </row>
    <row r="52" spans="1:1" x14ac:dyDescent="0.25">
      <c r="A52" s="9" t="s">
        <v>50</v>
      </c>
    </row>
    <row r="54" spans="1:3" s="2" customFormat="1" x14ac:dyDescent="0.25">
      <c r="A54" s="2" t="s">
        <v>51</v>
      </c>
      <c r="B54" s="2" t="s">
        <v>2</v>
      </c>
      <c r="C54" s="2" t="s">
        <v>52</v>
      </c>
    </row>
    <row r="56" spans="1:1" s="10" customFormat="1" x14ac:dyDescent="0.25">
      <c r="A56" s="10" t="s">
        <v>53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